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er Analysis" sheetId="2" state="visible" r:id="rId2"/>
    <sheet xmlns:r="http://schemas.openxmlformats.org/officeDocument/2006/relationships" name="Ryze Case" sheetId="3" state="visible" r:id="rId3"/>
    <sheet xmlns:r="http://schemas.openxmlformats.org/officeDocument/2006/relationships" name="Scaling" sheetId="4" state="visible" r:id="rId4"/>
    <sheet xmlns:r="http://schemas.openxmlformats.org/officeDocument/2006/relationships" name="Production C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(&quot;$&quot;#,##0.00);&quot;-&quot;"/>
    <numFmt numFmtId="165" formatCode="#,##0;(#,##0);&quot;-&quot;"/>
    <numFmt numFmtId="166" formatCode="&quot;$&quot;#,##0;(&quot;$&quot;#,##0);&quot;-&quot;"/>
    <numFmt numFmtId="167" formatCode="0.0%;(0.0%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164" fontId="4" fillId="4" borderId="1" pivotButton="0" quotePrefix="0" xfId="0"/>
    <xf numFmtId="0" fontId="5" fillId="0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6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3" borderId="1" pivotButton="0" quotePrefix="0" xfId="0"/>
    <xf numFmtId="164" fontId="7" fillId="3" borderId="1" pivotButton="0" quotePrefix="0" xfId="0"/>
    <xf numFmtId="167" fontId="7" fillId="0" borderId="1" pivotButton="0" quotePrefix="0" xfId="0"/>
    <xf numFmtId="167" fontId="4" fillId="4" borderId="1" pivotButton="0" quotePrefix="0" xfId="0"/>
    <xf numFmtId="0" fontId="7" fillId="4" borderId="1" pivotButton="0" quotePrefix="0" xfId="0"/>
    <xf numFmtId="167" fontId="7" fillId="4" borderId="1" pivotButton="0" quotePrefix="0" xfId="0"/>
    <xf numFmtId="0" fontId="2" fillId="0" borderId="0" pivotButton="0" quotePrefix="0" xfId="0"/>
    <xf numFmtId="0" fontId="5" fillId="0" borderId="0" pivotButton="0" quotePrefix="0" xfId="0"/>
    <xf numFmtId="165" fontId="7" fillId="0" borderId="1" pivotButton="0" quotePrefix="0" xfId="0"/>
    <xf numFmtId="164" fontId="8" fillId="0" borderId="1" pivotButton="0" quotePrefix="0" xfId="0"/>
    <xf numFmtId="166" fontId="3" fillId="0" borderId="1" pivotButton="0" quotePrefix="0" xfId="0"/>
    <xf numFmtId="166" fontId="7" fillId="3" borderId="1" pivotButton="0" quotePrefix="0" xfId="0"/>
    <xf numFmtId="166" fontId="7" fillId="0" borderId="1" pivotButton="0" quotePrefix="0" xfId="0"/>
    <xf numFmtId="165" fontId="4" fillId="0" borderId="1" pivotButton="0" quotePrefix="0" xfId="0"/>
    <xf numFmtId="166" fontId="8" fillId="0" borderId="1" pivotButton="0" quotePrefix="0" xfId="0"/>
    <xf numFmtId="166" fontId="7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 / Note</t>
        </is>
      </c>
    </row>
    <row r="2">
      <c r="A2" s="2" t="inlineStr">
        <is>
          <t>Gemini API pricing (2026)</t>
        </is>
      </c>
      <c r="B2" s="2" t="n"/>
      <c r="C2" s="2" t="n"/>
      <c r="D2" s="2" t="n"/>
    </row>
    <row r="3">
      <c r="A3" s="3" t="inlineStr">
        <is>
          <t>Gemini 2.5 Flash — input price per 1M tokens</t>
        </is>
      </c>
      <c r="B3" s="4" t="n">
        <v>0.3</v>
      </c>
      <c r="C3" s="3" t="inlineStr">
        <is>
          <t>$</t>
        </is>
      </c>
      <c r="D3" s="5" t="inlineStr">
        <is>
          <t>Source: Google AI pricing, 2026-04</t>
        </is>
      </c>
    </row>
    <row r="4">
      <c r="A4" s="3" t="inlineStr">
        <is>
          <t>Gemini 2.5 Flash — output price per 1M tokens</t>
        </is>
      </c>
      <c r="B4" s="4" t="n">
        <v>2.5</v>
      </c>
      <c r="C4" s="3" t="inlineStr">
        <is>
          <t>$</t>
        </is>
      </c>
      <c r="D4" s="5" t="inlineStr">
        <is>
          <t>Source: Google AI pricing, 2026-04</t>
        </is>
      </c>
    </row>
    <row r="5">
      <c r="A5" s="3" t="inlineStr">
        <is>
          <t>Gemini 2.5 Pro — input price per 1M tokens</t>
        </is>
      </c>
      <c r="B5" s="4" t="n">
        <v>1.25</v>
      </c>
      <c r="C5" s="3" t="inlineStr">
        <is>
          <t>$</t>
        </is>
      </c>
      <c r="D5" s="5" t="inlineStr">
        <is>
          <t>Source: Google AI pricing, 2026-04</t>
        </is>
      </c>
    </row>
    <row r="6">
      <c r="A6" s="3" t="inlineStr">
        <is>
          <t>Gemini 2.5 Pro — output price per 1M tokens</t>
        </is>
      </c>
      <c r="B6" s="4" t="n">
        <v>10</v>
      </c>
      <c r="C6" s="3" t="inlineStr">
        <is>
          <t>$</t>
        </is>
      </c>
      <c r="D6" s="5" t="inlineStr">
        <is>
          <t>Source: Google AI pricing, 2026-04</t>
        </is>
      </c>
    </row>
    <row r="8">
      <c r="A8" s="2" t="inlineStr">
        <is>
          <t>Video token counts (per Gemini docs)</t>
        </is>
      </c>
      <c r="B8" s="2" t="n"/>
      <c r="C8" s="2" t="n"/>
      <c r="D8" s="2" t="n"/>
    </row>
    <row r="9">
      <c r="A9" s="3" t="inlineStr">
        <is>
          <t>Video tokens per second (video + audio combined)</t>
        </is>
      </c>
      <c r="B9" s="6" t="n">
        <v>263</v>
      </c>
      <c r="C9" s="3" t="inlineStr">
        <is>
          <t>tokens</t>
        </is>
      </c>
      <c r="D9" s="5" t="inlineStr">
        <is>
          <t>Source: Gemini API docs — video @ 1 FPS default</t>
        </is>
      </c>
    </row>
    <row r="10">
      <c r="A10" s="3" t="inlineStr">
        <is>
          <t>Prompt tokens — base pass (system + instruction)</t>
        </is>
      </c>
      <c r="B10" s="6" t="n">
        <v>3000</v>
      </c>
      <c r="C10" s="3" t="inlineStr">
        <is>
          <t>tokens</t>
        </is>
      </c>
      <c r="D10" s="5" t="inlineStr">
        <is>
          <t>Est. from lib/video/prompts.ts</t>
        </is>
      </c>
    </row>
    <row r="11">
      <c r="A11" s="3" t="inlineStr">
        <is>
          <t>Prompt tokens — extended pass (system + instruction)</t>
        </is>
      </c>
      <c r="B11" s="6" t="n">
        <v>5000</v>
      </c>
      <c r="C11" s="3" t="inlineStr">
        <is>
          <t>tokens</t>
        </is>
      </c>
      <c r="D11" s="5" t="inlineStr">
        <is>
          <t>Est. from lib/video/analysis-extended-prompt.ts</t>
        </is>
      </c>
    </row>
    <row r="12">
      <c r="A12" s="3" t="inlineStr">
        <is>
          <t>Output tokens — base pass (structured JSON)</t>
        </is>
      </c>
      <c r="B12" s="6" t="n">
        <v>5000</v>
      </c>
      <c r="C12" s="3" t="inlineStr">
        <is>
          <t>tokens</t>
        </is>
      </c>
      <c r="D12" s="5" t="inlineStr">
        <is>
          <t>Est. from typical final.json base section</t>
        </is>
      </c>
    </row>
    <row r="13">
      <c r="A13" s="3" t="inlineStr">
        <is>
          <t>Output tokens — extended pass (structured JSON)</t>
        </is>
      </c>
      <c r="B13" s="6" t="n">
        <v>8000</v>
      </c>
      <c r="C13" s="3" t="inlineStr">
        <is>
          <t>tokens</t>
        </is>
      </c>
      <c r="D13" s="5" t="inlineStr">
        <is>
          <t>Est. from typical final.json extended section</t>
        </is>
      </c>
    </row>
    <row r="15">
      <c r="A15" s="2" t="inlineStr">
        <is>
          <t>Infrastructure COGS per analysis</t>
        </is>
      </c>
      <c r="B15" s="2" t="n"/>
      <c r="C15" s="2" t="n"/>
      <c r="D15" s="2" t="n"/>
    </row>
    <row r="16">
      <c r="A16" s="3" t="inlineStr">
        <is>
          <t>Vercel Function compute cost per analysis</t>
        </is>
      </c>
      <c r="B16" s="4" t="n">
        <v>0.005</v>
      </c>
      <c r="C16" s="3" t="inlineStr">
        <is>
          <t>$</t>
        </is>
      </c>
      <c r="D16" s="5" t="inlineStr">
        <is>
          <t>Est. at maxDuration=120s, 2GB mem</t>
        </is>
      </c>
    </row>
    <row r="17">
      <c r="A17" s="3" t="inlineStr">
        <is>
          <t>Vercel Blob storage cost per analysis per month</t>
        </is>
      </c>
      <c r="B17" s="4" t="n">
        <v>0.001</v>
      </c>
      <c r="C17" s="3" t="inlineStr">
        <is>
          <t>$</t>
        </is>
      </c>
      <c r="D17" s="5" t="inlineStr">
        <is>
          <t>~30MB average × $0.023/GB/mo</t>
        </is>
      </c>
    </row>
    <row r="18">
      <c r="A18" s="3" t="inlineStr">
        <is>
          <t>Egress / bandwidth cost per analysis</t>
        </is>
      </c>
      <c r="B18" s="4" t="n">
        <v>0.001</v>
      </c>
      <c r="C18" s="3" t="inlineStr">
        <is>
          <t>$</t>
        </is>
      </c>
      <c r="D18" s="5" t="inlineStr">
        <is>
          <t>Video fetch to Gemini + result transfer</t>
        </is>
      </c>
    </row>
    <row r="19">
      <c r="A19" s="3" t="inlineStr">
        <is>
          <t>Other variable overhead per analysis</t>
        </is>
      </c>
      <c r="B19" s="4" t="n">
        <v>0.005</v>
      </c>
      <c r="C19" s="3" t="inlineStr">
        <is>
          <t>$</t>
        </is>
      </c>
      <c r="D19" s="5" t="inlineStr">
        <is>
          <t>Monitoring, logging, error tracking</t>
        </is>
      </c>
    </row>
    <row r="21">
      <c r="A21" s="2" t="inlineStr">
        <is>
          <t>Pricing scenarios</t>
        </is>
      </c>
      <c r="B21" s="2" t="n"/>
      <c r="C21" s="2" t="n"/>
      <c r="D21" s="2" t="n"/>
    </row>
    <row r="22">
      <c r="A22" s="3" t="inlineStr">
        <is>
          <t>Price per credit ($/credit)</t>
        </is>
      </c>
      <c r="B22" s="4" t="n">
        <v>1</v>
      </c>
      <c r="C22" s="3" t="inlineStr">
        <is>
          <t>$</t>
        </is>
      </c>
      <c r="D22" s="5" t="inlineStr">
        <is>
          <t>Single credit price. Retail bundles can add markup on top.</t>
        </is>
      </c>
    </row>
    <row r="23">
      <c r="A23" s="3" t="inlineStr">
        <is>
          <t>Credits per Flash analysis</t>
        </is>
      </c>
      <c r="B23" s="7" t="n">
        <v>1</v>
      </c>
      <c r="C23" s="3" t="inlineStr">
        <is>
          <t>credits</t>
        </is>
      </c>
      <c r="D23" s="5" t="inlineStr">
        <is>
          <t>Base packaging</t>
        </is>
      </c>
    </row>
    <row r="24">
      <c r="A24" s="3" t="inlineStr">
        <is>
          <t>Credits per Pro analysis</t>
        </is>
      </c>
      <c r="B24" s="7" t="n">
        <v>3</v>
      </c>
      <c r="C24" s="3" t="inlineStr">
        <is>
          <t>credits</t>
        </is>
      </c>
      <c r="D24" s="5" t="inlineStr">
        <is>
          <t>Pro charges 3x credits — still under 5% of production cost</t>
        </is>
      </c>
    </row>
    <row r="26">
      <c r="A26" s="2" t="inlineStr">
        <is>
          <t>Fixed monthly overhead (outside COGS)</t>
        </is>
      </c>
      <c r="B26" s="2" t="n"/>
      <c r="C26" s="2" t="n"/>
      <c r="D26" s="2" t="n"/>
    </row>
    <row r="27">
      <c r="A27" s="3" t="inlineStr">
        <is>
          <t>Vercel base plan + Postgres + Blob</t>
        </is>
      </c>
      <c r="B27" s="8" t="n">
        <v>200</v>
      </c>
      <c r="C27" s="3" t="inlineStr">
        <is>
          <t>$/mo</t>
        </is>
      </c>
      <c r="D27" s="5" t="inlineStr">
        <is>
          <t>Neon + Vercel Pro baseline</t>
        </is>
      </c>
    </row>
    <row r="28">
      <c r="A28" s="3" t="inlineStr">
        <is>
          <t>Monitoring + error tracking (Sentry etc)</t>
        </is>
      </c>
      <c r="B28" s="8" t="n">
        <v>80</v>
      </c>
      <c r="C28" s="3" t="inlineStr">
        <is>
          <t>$/mo</t>
        </is>
      </c>
      <c r="D28" s="5" t="inlineStr">
        <is>
          <t>Small team tier</t>
        </is>
      </c>
    </row>
    <row r="29">
      <c r="A29" s="3" t="inlineStr">
        <is>
          <t>Salaries attributed (founder/contractor, amortized)</t>
        </is>
      </c>
      <c r="B29" s="8" t="n">
        <v>12000</v>
      </c>
      <c r="C29" s="3" t="inlineStr">
        <is>
          <t>$/mo</t>
        </is>
      </c>
      <c r="D29" s="5" t="inlineStr">
        <is>
          <t>1 FTE at conservative rate</t>
        </is>
      </c>
    </row>
    <row r="30">
      <c r="A30" s="3" t="inlineStr">
        <is>
          <t>Sales/Marketing spend per month</t>
        </is>
      </c>
      <c r="B30" s="8" t="n">
        <v>2000</v>
      </c>
      <c r="C30" s="3" t="inlineStr">
        <is>
          <t>$/mo</t>
        </is>
      </c>
      <c r="D30" s="5" t="inlineStr">
        <is>
          <t>Content, tools, ad experiments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Per-Analysis Cost Breakdown — Flash vs Pro by Video Length</t>
        </is>
      </c>
    </row>
    <row r="3">
      <c r="A3" s="1" t="inlineStr">
        <is>
          <t>Video length (seconds) →</t>
        </is>
      </c>
      <c r="B3" s="1" t="inlineStr">
        <is>
          <t>15</t>
        </is>
      </c>
      <c r="C3" s="1" t="inlineStr">
        <is>
          <t>30</t>
        </is>
      </c>
      <c r="D3" s="1" t="inlineStr">
        <is>
          <t>45</t>
        </is>
      </c>
      <c r="E3" s="1" t="inlineStr">
        <is>
          <t>60</t>
        </is>
      </c>
      <c r="F3" s="1" t="inlineStr">
        <is>
          <t>90</t>
        </is>
      </c>
      <c r="G3" s="1" t="inlineStr">
        <is>
          <t>120</t>
        </is>
      </c>
      <c r="H3" s="1" t="inlineStr">
        <is>
          <t>180</t>
        </is>
      </c>
    </row>
    <row r="4">
      <c r="A4" s="2" t="inlineStr">
        <is>
          <t>GEMINI 2.5 FLASH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Video tokens per pass</t>
        </is>
      </c>
      <c r="B5" s="10">
        <f>15*Assumptions!B9</f>
        <v/>
      </c>
      <c r="C5" s="10">
        <f>30*Assumptions!B9</f>
        <v/>
      </c>
      <c r="D5" s="10">
        <f>45*Assumptions!B9</f>
        <v/>
      </c>
      <c r="E5" s="10">
        <f>60*Assumptions!B9</f>
        <v/>
      </c>
      <c r="F5" s="10">
        <f>90*Assumptions!B9</f>
        <v/>
      </c>
      <c r="G5" s="10">
        <f>120*Assumptions!B9</f>
        <v/>
      </c>
      <c r="H5" s="10">
        <f>180*Assumptions!B9</f>
        <v/>
      </c>
    </row>
    <row r="6">
      <c r="A6" s="3" t="inlineStr">
        <is>
          <t>Base pass — total input tokens</t>
        </is>
      </c>
      <c r="B6" s="10">
        <f>B5+Assumptions!B10</f>
        <v/>
      </c>
      <c r="C6" s="10">
        <f>C5+Assumptions!B10</f>
        <v/>
      </c>
      <c r="D6" s="10">
        <f>D5+Assumptions!B10</f>
        <v/>
      </c>
      <c r="E6" s="10">
        <f>E5+Assumptions!B10</f>
        <v/>
      </c>
      <c r="F6" s="10">
        <f>F5+Assumptions!B10</f>
        <v/>
      </c>
      <c r="G6" s="10">
        <f>G5+Assumptions!B10</f>
        <v/>
      </c>
      <c r="H6" s="10">
        <f>H5+Assumptions!B10</f>
        <v/>
      </c>
    </row>
    <row r="7">
      <c r="A7" s="3" t="inlineStr">
        <is>
          <t>Base pass — input cost ($)</t>
        </is>
      </c>
      <c r="B7" s="11">
        <f>B6/1000000*Assumptions!B3</f>
        <v/>
      </c>
      <c r="C7" s="11">
        <f>C6/1000000*Assumptions!B3</f>
        <v/>
      </c>
      <c r="D7" s="11">
        <f>D6/1000000*Assumptions!B3</f>
        <v/>
      </c>
      <c r="E7" s="11">
        <f>E6/1000000*Assumptions!B3</f>
        <v/>
      </c>
      <c r="F7" s="11">
        <f>F6/1000000*Assumptions!B3</f>
        <v/>
      </c>
      <c r="G7" s="11">
        <f>G6/1000000*Assumptions!B3</f>
        <v/>
      </c>
      <c r="H7" s="11">
        <f>H6/1000000*Assumptions!B3</f>
        <v/>
      </c>
    </row>
    <row r="8">
      <c r="A8" s="3" t="inlineStr">
        <is>
          <t>Base pass — output cost ($)</t>
        </is>
      </c>
      <c r="B8" s="11">
        <f>Assumptions!B12/1000000*Assumptions!B4</f>
        <v/>
      </c>
      <c r="C8" s="11">
        <f>Assumptions!B12/1000000*Assumptions!B4</f>
        <v/>
      </c>
      <c r="D8" s="11">
        <f>Assumptions!B12/1000000*Assumptions!B4</f>
        <v/>
      </c>
      <c r="E8" s="11">
        <f>Assumptions!B12/1000000*Assumptions!B4</f>
        <v/>
      </c>
      <c r="F8" s="11">
        <f>Assumptions!B12/1000000*Assumptions!B4</f>
        <v/>
      </c>
      <c r="G8" s="11">
        <f>Assumptions!B12/1000000*Assumptions!B4</f>
        <v/>
      </c>
      <c r="H8" s="11">
        <f>Assumptions!B12/1000000*Assumptions!B4</f>
        <v/>
      </c>
    </row>
    <row r="9">
      <c r="A9" s="3" t="inlineStr">
        <is>
          <t>Extended pass — total input tokens</t>
        </is>
      </c>
      <c r="B9" s="10">
        <f>B5+Assumptions!B11</f>
        <v/>
      </c>
      <c r="C9" s="10">
        <f>C5+Assumptions!B11</f>
        <v/>
      </c>
      <c r="D9" s="10">
        <f>D5+Assumptions!B11</f>
        <v/>
      </c>
      <c r="E9" s="10">
        <f>E5+Assumptions!B11</f>
        <v/>
      </c>
      <c r="F9" s="10">
        <f>F5+Assumptions!B11</f>
        <v/>
      </c>
      <c r="G9" s="10">
        <f>G5+Assumptions!B11</f>
        <v/>
      </c>
      <c r="H9" s="10">
        <f>H5+Assumptions!B11</f>
        <v/>
      </c>
    </row>
    <row r="10">
      <c r="A10" s="3" t="inlineStr">
        <is>
          <t>Extended pass — input cost ($)</t>
        </is>
      </c>
      <c r="B10" s="11">
        <f>B9/1000000*Assumptions!B3</f>
        <v/>
      </c>
      <c r="C10" s="11">
        <f>C9/1000000*Assumptions!B3</f>
        <v/>
      </c>
      <c r="D10" s="11">
        <f>D9/1000000*Assumptions!B3</f>
        <v/>
      </c>
      <c r="E10" s="11">
        <f>E9/1000000*Assumptions!B3</f>
        <v/>
      </c>
      <c r="F10" s="11">
        <f>F9/1000000*Assumptions!B3</f>
        <v/>
      </c>
      <c r="G10" s="11">
        <f>G9/1000000*Assumptions!B3</f>
        <v/>
      </c>
      <c r="H10" s="11">
        <f>H9/1000000*Assumptions!B3</f>
        <v/>
      </c>
    </row>
    <row r="11">
      <c r="A11" s="3" t="inlineStr">
        <is>
          <t>Extended pass — output cost ($)</t>
        </is>
      </c>
      <c r="B11" s="11">
        <f>Assumptions!B13/1000000*Assumptions!B4</f>
        <v/>
      </c>
      <c r="C11" s="11">
        <f>Assumptions!B13/1000000*Assumptions!B4</f>
        <v/>
      </c>
      <c r="D11" s="11">
        <f>Assumptions!B13/1000000*Assumptions!B4</f>
        <v/>
      </c>
      <c r="E11" s="11">
        <f>Assumptions!B13/1000000*Assumptions!B4</f>
        <v/>
      </c>
      <c r="F11" s="11">
        <f>Assumptions!B13/1000000*Assumptions!B4</f>
        <v/>
      </c>
      <c r="G11" s="11">
        <f>Assumptions!B13/1000000*Assumptions!B4</f>
        <v/>
      </c>
      <c r="H11" s="11">
        <f>Assumptions!B13/1000000*Assumptions!B4</f>
        <v/>
      </c>
    </row>
    <row r="12">
      <c r="A12" s="12" t="inlineStr">
        <is>
          <t>LLM subtotal ($)</t>
        </is>
      </c>
      <c r="B12" s="13">
        <f>B7+B8+B10+B11</f>
        <v/>
      </c>
      <c r="C12" s="13">
        <f>C7+C8+C10+C11</f>
        <v/>
      </c>
      <c r="D12" s="13">
        <f>D7+D8+D10+D11</f>
        <v/>
      </c>
      <c r="E12" s="13">
        <f>E7+E8+E10+E11</f>
        <v/>
      </c>
      <c r="F12" s="13">
        <f>F7+F8+F10+F11</f>
        <v/>
      </c>
      <c r="G12" s="13">
        <f>G7+G8+G10+G11</f>
        <v/>
      </c>
      <c r="H12" s="13">
        <f>H7+H8+H10+H11</f>
        <v/>
      </c>
    </row>
    <row r="13">
      <c r="A13" s="3" t="inlineStr">
        <is>
          <t>Infrastructure COGS ($)</t>
        </is>
      </c>
      <c r="B13" s="11">
        <f>Assumptions!B16+Assumptions!B17+Assumptions!B18+Assumptions!B19</f>
        <v/>
      </c>
      <c r="C13" s="11">
        <f>Assumptions!B16+Assumptions!B17+Assumptions!B18+Assumptions!B19</f>
        <v/>
      </c>
      <c r="D13" s="11">
        <f>Assumptions!B16+Assumptions!B17+Assumptions!B18+Assumptions!B19</f>
        <v/>
      </c>
      <c r="E13" s="11">
        <f>Assumptions!B16+Assumptions!B17+Assumptions!B18+Assumptions!B19</f>
        <v/>
      </c>
      <c r="F13" s="11">
        <f>Assumptions!B16+Assumptions!B17+Assumptions!B18+Assumptions!B19</f>
        <v/>
      </c>
      <c r="G13" s="11">
        <f>Assumptions!B16+Assumptions!B17+Assumptions!B18+Assumptions!B19</f>
        <v/>
      </c>
      <c r="H13" s="11">
        <f>Assumptions!B16+Assumptions!B17+Assumptions!B18+Assumptions!B19</f>
        <v/>
      </c>
    </row>
    <row r="14">
      <c r="A14" s="14" t="inlineStr">
        <is>
          <t>TOTAL COGS per analysis — Flash ($)</t>
        </is>
      </c>
      <c r="B14" s="15">
        <f>B12+B13</f>
        <v/>
      </c>
      <c r="C14" s="15">
        <f>C12+C13</f>
        <v/>
      </c>
      <c r="D14" s="15">
        <f>D12+D13</f>
        <v/>
      </c>
      <c r="E14" s="15">
        <f>E12+E13</f>
        <v/>
      </c>
      <c r="F14" s="15">
        <f>F12+F13</f>
        <v/>
      </c>
      <c r="G14" s="15">
        <f>G12+G13</f>
        <v/>
      </c>
      <c r="H14" s="15">
        <f>H12+H13</f>
        <v/>
      </c>
    </row>
    <row r="15">
      <c r="A15" s="3" t="inlineStr">
        <is>
          <t>Revenue per analysis — Flash (1 credit × $/credit)</t>
        </is>
      </c>
      <c r="B15" s="11">
        <f>Assumptions!B22*Assumptions!B23</f>
        <v/>
      </c>
      <c r="C15" s="11">
        <f>Assumptions!B22*Assumptions!B23</f>
        <v/>
      </c>
      <c r="D15" s="11">
        <f>Assumptions!B22*Assumptions!B23</f>
        <v/>
      </c>
      <c r="E15" s="11">
        <f>Assumptions!B22*Assumptions!B23</f>
        <v/>
      </c>
      <c r="F15" s="11">
        <f>Assumptions!B22*Assumptions!B23</f>
        <v/>
      </c>
      <c r="G15" s="11">
        <f>Assumptions!B22*Assumptions!B23</f>
        <v/>
      </c>
      <c r="H15" s="11">
        <f>Assumptions!B22*Assumptions!B23</f>
        <v/>
      </c>
    </row>
    <row r="16">
      <c r="A16" s="12" t="inlineStr">
        <is>
          <t>Gross margin % — Flash</t>
        </is>
      </c>
      <c r="B16" s="16">
        <f>IFERROR((B15-B14)/B15,0)</f>
        <v/>
      </c>
      <c r="C16" s="16">
        <f>IFERROR((C15-C14)/C15,0)</f>
        <v/>
      </c>
      <c r="D16" s="16">
        <f>IFERROR((D15-D14)/D15,0)</f>
        <v/>
      </c>
      <c r="E16" s="16">
        <f>IFERROR((E15-E14)/E15,0)</f>
        <v/>
      </c>
      <c r="F16" s="16">
        <f>IFERROR((F15-F14)/F15,0)</f>
        <v/>
      </c>
      <c r="G16" s="16">
        <f>IFERROR((G15-G14)/G15,0)</f>
        <v/>
      </c>
      <c r="H16" s="16">
        <f>IFERROR((H15-H14)/H15,0)</f>
        <v/>
      </c>
    </row>
    <row r="18">
      <c r="A18" s="2" t="inlineStr">
        <is>
          <t>GEMINI 2.5 PRO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Video tokens per pass</t>
        </is>
      </c>
      <c r="B19" s="10">
        <f>15*Assumptions!B9</f>
        <v/>
      </c>
      <c r="C19" s="10">
        <f>30*Assumptions!B9</f>
        <v/>
      </c>
      <c r="D19" s="10">
        <f>45*Assumptions!B9</f>
        <v/>
      </c>
      <c r="E19" s="10">
        <f>60*Assumptions!B9</f>
        <v/>
      </c>
      <c r="F19" s="10">
        <f>90*Assumptions!B9</f>
        <v/>
      </c>
      <c r="G19" s="10">
        <f>120*Assumptions!B9</f>
        <v/>
      </c>
      <c r="H19" s="10">
        <f>180*Assumptions!B9</f>
        <v/>
      </c>
    </row>
    <row r="20">
      <c r="A20" s="3" t="inlineStr">
        <is>
          <t>Base pass — total input tokens</t>
        </is>
      </c>
      <c r="B20" s="10">
        <f>B19+Assumptions!B10</f>
        <v/>
      </c>
      <c r="C20" s="10">
        <f>C19+Assumptions!B10</f>
        <v/>
      </c>
      <c r="D20" s="10">
        <f>D19+Assumptions!B10</f>
        <v/>
      </c>
      <c r="E20" s="10">
        <f>E19+Assumptions!B10</f>
        <v/>
      </c>
      <c r="F20" s="10">
        <f>F19+Assumptions!B10</f>
        <v/>
      </c>
      <c r="G20" s="10">
        <f>G19+Assumptions!B10</f>
        <v/>
      </c>
      <c r="H20" s="10">
        <f>H19+Assumptions!B10</f>
        <v/>
      </c>
    </row>
    <row r="21">
      <c r="A21" s="3" t="inlineStr">
        <is>
          <t>Base pass — input cost ($)</t>
        </is>
      </c>
      <c r="B21" s="11">
        <f>B20/1000000*Assumptions!B5</f>
        <v/>
      </c>
      <c r="C21" s="11">
        <f>C20/1000000*Assumptions!B5</f>
        <v/>
      </c>
      <c r="D21" s="11">
        <f>D20/1000000*Assumptions!B5</f>
        <v/>
      </c>
      <c r="E21" s="11">
        <f>E20/1000000*Assumptions!B5</f>
        <v/>
      </c>
      <c r="F21" s="11">
        <f>F20/1000000*Assumptions!B5</f>
        <v/>
      </c>
      <c r="G21" s="11">
        <f>G20/1000000*Assumptions!B5</f>
        <v/>
      </c>
      <c r="H21" s="11">
        <f>H20/1000000*Assumptions!B5</f>
        <v/>
      </c>
    </row>
    <row r="22">
      <c r="A22" s="3" t="inlineStr">
        <is>
          <t>Base pass — output cost ($)</t>
        </is>
      </c>
      <c r="B22" s="11">
        <f>Assumptions!B12/1000000*Assumptions!B6</f>
        <v/>
      </c>
      <c r="C22" s="11">
        <f>Assumptions!B12/1000000*Assumptions!B6</f>
        <v/>
      </c>
      <c r="D22" s="11">
        <f>Assumptions!B12/1000000*Assumptions!B6</f>
        <v/>
      </c>
      <c r="E22" s="11">
        <f>Assumptions!B12/1000000*Assumptions!B6</f>
        <v/>
      </c>
      <c r="F22" s="11">
        <f>Assumptions!B12/1000000*Assumptions!B6</f>
        <v/>
      </c>
      <c r="G22" s="11">
        <f>Assumptions!B12/1000000*Assumptions!B6</f>
        <v/>
      </c>
      <c r="H22" s="11">
        <f>Assumptions!B12/1000000*Assumptions!B6</f>
        <v/>
      </c>
    </row>
    <row r="23">
      <c r="A23" s="3" t="inlineStr">
        <is>
          <t>Extended pass — total input tokens</t>
        </is>
      </c>
      <c r="B23" s="10">
        <f>B19+Assumptions!B11</f>
        <v/>
      </c>
      <c r="C23" s="10">
        <f>C19+Assumptions!B11</f>
        <v/>
      </c>
      <c r="D23" s="10">
        <f>D19+Assumptions!B11</f>
        <v/>
      </c>
      <c r="E23" s="10">
        <f>E19+Assumptions!B11</f>
        <v/>
      </c>
      <c r="F23" s="10">
        <f>F19+Assumptions!B11</f>
        <v/>
      </c>
      <c r="G23" s="10">
        <f>G19+Assumptions!B11</f>
        <v/>
      </c>
      <c r="H23" s="10">
        <f>H19+Assumptions!B11</f>
        <v/>
      </c>
    </row>
    <row r="24">
      <c r="A24" s="3" t="inlineStr">
        <is>
          <t>Extended pass — input cost ($)</t>
        </is>
      </c>
      <c r="B24" s="11">
        <f>B23/1000000*Assumptions!B5</f>
        <v/>
      </c>
      <c r="C24" s="11">
        <f>C23/1000000*Assumptions!B5</f>
        <v/>
      </c>
      <c r="D24" s="11">
        <f>D23/1000000*Assumptions!B5</f>
        <v/>
      </c>
      <c r="E24" s="11">
        <f>E23/1000000*Assumptions!B5</f>
        <v/>
      </c>
      <c r="F24" s="11">
        <f>F23/1000000*Assumptions!B5</f>
        <v/>
      </c>
      <c r="G24" s="11">
        <f>G23/1000000*Assumptions!B5</f>
        <v/>
      </c>
      <c r="H24" s="11">
        <f>H23/1000000*Assumptions!B5</f>
        <v/>
      </c>
    </row>
    <row r="25">
      <c r="A25" s="3" t="inlineStr">
        <is>
          <t>Extended pass — output cost ($)</t>
        </is>
      </c>
      <c r="B25" s="11">
        <f>Assumptions!B13/1000000*Assumptions!B6</f>
        <v/>
      </c>
      <c r="C25" s="11">
        <f>Assumptions!B13/1000000*Assumptions!B6</f>
        <v/>
      </c>
      <c r="D25" s="11">
        <f>Assumptions!B13/1000000*Assumptions!B6</f>
        <v/>
      </c>
      <c r="E25" s="11">
        <f>Assumptions!B13/1000000*Assumptions!B6</f>
        <v/>
      </c>
      <c r="F25" s="11">
        <f>Assumptions!B13/1000000*Assumptions!B6</f>
        <v/>
      </c>
      <c r="G25" s="11">
        <f>Assumptions!B13/1000000*Assumptions!B6</f>
        <v/>
      </c>
      <c r="H25" s="11">
        <f>Assumptions!B13/1000000*Assumptions!B6</f>
        <v/>
      </c>
    </row>
    <row r="26">
      <c r="A26" s="12" t="inlineStr">
        <is>
          <t>LLM subtotal ($)</t>
        </is>
      </c>
      <c r="B26" s="13">
        <f>B21+B22+B24+B25</f>
        <v/>
      </c>
      <c r="C26" s="13">
        <f>C21+C22+C24+C25</f>
        <v/>
      </c>
      <c r="D26" s="13">
        <f>D21+D22+D24+D25</f>
        <v/>
      </c>
      <c r="E26" s="13">
        <f>E21+E22+E24+E25</f>
        <v/>
      </c>
      <c r="F26" s="13">
        <f>F21+F22+F24+F25</f>
        <v/>
      </c>
      <c r="G26" s="13">
        <f>G21+G22+G24+G25</f>
        <v/>
      </c>
      <c r="H26" s="13">
        <f>H21+H22+H24+H25</f>
        <v/>
      </c>
    </row>
    <row r="27">
      <c r="A27" s="3" t="inlineStr">
        <is>
          <t>Infrastructure COGS ($)</t>
        </is>
      </c>
      <c r="B27" s="11">
        <f>Assumptions!B16+Assumptions!B17+Assumptions!B18+Assumptions!B19</f>
        <v/>
      </c>
      <c r="C27" s="11">
        <f>Assumptions!B16+Assumptions!B17+Assumptions!B18+Assumptions!B19</f>
        <v/>
      </c>
      <c r="D27" s="11">
        <f>Assumptions!B16+Assumptions!B17+Assumptions!B18+Assumptions!B19</f>
        <v/>
      </c>
      <c r="E27" s="11">
        <f>Assumptions!B16+Assumptions!B17+Assumptions!B18+Assumptions!B19</f>
        <v/>
      </c>
      <c r="F27" s="11">
        <f>Assumptions!B16+Assumptions!B17+Assumptions!B18+Assumptions!B19</f>
        <v/>
      </c>
      <c r="G27" s="11">
        <f>Assumptions!B16+Assumptions!B17+Assumptions!B18+Assumptions!B19</f>
        <v/>
      </c>
      <c r="H27" s="11">
        <f>Assumptions!B16+Assumptions!B17+Assumptions!B18+Assumptions!B19</f>
        <v/>
      </c>
    </row>
    <row r="28">
      <c r="A28" s="14" t="inlineStr">
        <is>
          <t>TOTAL COGS per analysis — Pro ($)</t>
        </is>
      </c>
      <c r="B28" s="15">
        <f>B26+B27</f>
        <v/>
      </c>
      <c r="C28" s="15">
        <f>C26+C27</f>
        <v/>
      </c>
      <c r="D28" s="15">
        <f>D26+D27</f>
        <v/>
      </c>
      <c r="E28" s="15">
        <f>E26+E27</f>
        <v/>
      </c>
      <c r="F28" s="15">
        <f>F26+F27</f>
        <v/>
      </c>
      <c r="G28" s="15">
        <f>G26+G27</f>
        <v/>
      </c>
      <c r="H28" s="15">
        <f>H26+H27</f>
        <v/>
      </c>
    </row>
    <row r="29">
      <c r="A29" s="3" t="inlineStr">
        <is>
          <t>Revenue per analysis — Pro (3 credits × $/credit)</t>
        </is>
      </c>
      <c r="B29" s="11">
        <f>Assumptions!B22*Assumptions!B24</f>
        <v/>
      </c>
      <c r="C29" s="11">
        <f>Assumptions!B22*Assumptions!B24</f>
        <v/>
      </c>
      <c r="D29" s="11">
        <f>Assumptions!B22*Assumptions!B24</f>
        <v/>
      </c>
      <c r="E29" s="11">
        <f>Assumptions!B22*Assumptions!B24</f>
        <v/>
      </c>
      <c r="F29" s="11">
        <f>Assumptions!B22*Assumptions!B24</f>
        <v/>
      </c>
      <c r="G29" s="11">
        <f>Assumptions!B22*Assumptions!B24</f>
        <v/>
      </c>
      <c r="H29" s="11">
        <f>Assumptions!B22*Assumptions!B24</f>
        <v/>
      </c>
    </row>
    <row r="30">
      <c r="A30" s="12" t="inlineStr">
        <is>
          <t>Gross margin % — Pro</t>
        </is>
      </c>
      <c r="B30" s="16">
        <f>IFERROR((B29-B28)/B29,0)</f>
        <v/>
      </c>
      <c r="C30" s="16">
        <f>IFERROR((C29-C28)/C29,0)</f>
        <v/>
      </c>
      <c r="D30" s="16">
        <f>IFERROR((D29-D28)/D29,0)</f>
        <v/>
      </c>
      <c r="E30" s="16">
        <f>IFERROR((E29-E28)/E29,0)</f>
        <v/>
      </c>
      <c r="F30" s="16">
        <f>IFERROR((F29-F28)/F29,0)</f>
        <v/>
      </c>
      <c r="G30" s="16">
        <f>IFERROR((G29-G28)/G29,0)</f>
        <v/>
      </c>
      <c r="H30" s="16">
        <f>IFERROR((H29-H28)/H29,0)</f>
        <v/>
      </c>
    </row>
    <row r="32">
      <c r="A32" s="2" t="inlineStr">
        <is>
          <t>BLENDED (70% Flash / 30% Pro)</t>
        </is>
      </c>
      <c r="B32" s="2" t="n"/>
      <c r="C32" s="2" t="n"/>
      <c r="D32" s="2" t="n"/>
      <c r="E32" s="2" t="n"/>
      <c r="F32" s="2" t="n"/>
      <c r="G32" s="2" t="n"/>
      <c r="H32" s="2" t="n"/>
    </row>
    <row r="33">
      <c r="A33" s="3" t="inlineStr">
        <is>
          <t>Flash share</t>
        </is>
      </c>
      <c r="B33" s="17" t="n">
        <v>0.7</v>
      </c>
    </row>
    <row r="34">
      <c r="A34" s="3" t="inlineStr">
        <is>
          <t>Pro share</t>
        </is>
      </c>
      <c r="B34" s="17" t="n">
        <v>0.3</v>
      </c>
    </row>
    <row r="35">
      <c r="A35" s="12" t="inlineStr">
        <is>
          <t>Blended COGS per analysis ($)</t>
        </is>
      </c>
      <c r="B35" s="13">
        <f>B14*$B$33+B28*$B$34</f>
        <v/>
      </c>
      <c r="C35" s="13">
        <f>C14*$B$33+C28*$B$34</f>
        <v/>
      </c>
      <c r="D35" s="13">
        <f>D14*$B$33+D28*$B$34</f>
        <v/>
      </c>
      <c r="E35" s="13">
        <f>E14*$B$33+E28*$B$34</f>
        <v/>
      </c>
      <c r="F35" s="13">
        <f>F14*$B$33+F28*$B$34</f>
        <v/>
      </c>
      <c r="G35" s="13">
        <f>G14*$B$33+G28*$B$34</f>
        <v/>
      </c>
      <c r="H35" s="13">
        <f>H14*$B$33+H28*$B$34</f>
        <v/>
      </c>
    </row>
    <row r="36">
      <c r="A36" s="3" t="inlineStr">
        <is>
          <t>Blended revenue per analysis ($)</t>
        </is>
      </c>
      <c r="B36" s="11">
        <f>B15*$B$33+B29*$B$34</f>
        <v/>
      </c>
      <c r="C36" s="11">
        <f>C15*$B$33+C29*$B$34</f>
        <v/>
      </c>
      <c r="D36" s="11">
        <f>D15*$B$33+D29*$B$34</f>
        <v/>
      </c>
      <c r="E36" s="11">
        <f>E15*$B$33+E29*$B$34</f>
        <v/>
      </c>
      <c r="F36" s="11">
        <f>F15*$B$33+F29*$B$34</f>
        <v/>
      </c>
      <c r="G36" s="11">
        <f>G15*$B$33+G29*$B$34</f>
        <v/>
      </c>
      <c r="H36" s="11">
        <f>H15*$B$33+H29*$B$34</f>
        <v/>
      </c>
    </row>
    <row r="37">
      <c r="A37" s="18" t="inlineStr">
        <is>
          <t>Gross margin % — Blended</t>
        </is>
      </c>
      <c r="B37" s="19">
        <f>IFERROR((B36-B35)/B36,0)</f>
        <v/>
      </c>
      <c r="C37" s="19">
        <f>IFERROR((C36-C35)/C36,0)</f>
        <v/>
      </c>
      <c r="D37" s="19">
        <f>IFERROR((D36-D35)/D36,0)</f>
        <v/>
      </c>
      <c r="E37" s="19">
        <f>IFERROR((E36-E35)/E36,0)</f>
        <v/>
      </c>
      <c r="F37" s="19">
        <f>IFERROR((F36-F35)/F36,0)</f>
        <v/>
      </c>
      <c r="G37" s="19">
        <f>IFERROR((G36-G35)/G36,0)</f>
        <v/>
      </c>
      <c r="H37" s="19">
        <f>IFERROR((H36-H35)/H36,0)</f>
        <v/>
      </c>
    </row>
    <row r="39">
      <c r="A39" s="20" t="inlineStr">
        <is>
          <t>Notes:</t>
        </is>
      </c>
    </row>
    <row r="40">
      <c r="A40" s="21" t="inlineStr">
        <is>
          <t>• 60s is the typical TikTok/Reels UGC length and the primary benchmark bucket.</t>
        </is>
      </c>
    </row>
    <row r="41">
      <c r="A41" s="21" t="inlineStr">
        <is>
          <t>• Prompt and output token estimates are conservative — if actual prompts grow, edit Assumptions!B10-B14.</t>
        </is>
      </c>
    </row>
    <row r="42">
      <c r="A42" s="21" t="inlineStr">
        <is>
          <t>• Infrastructure COGS assumes Vercel Pro + Neon — if self-hosted on bare EC2, will be lower.</t>
        </is>
      </c>
    </row>
    <row r="43">
      <c r="A43" s="21" t="inlineStr">
        <is>
          <t>• Gemini pricing is volume-independent for SaaS; no enterprise discount assumed.</t>
        </is>
      </c>
    </row>
    <row r="44">
      <c r="A44" s="21" t="inlineStr">
        <is>
          <t>• Re-analysis (chat on existing analysis) adds ~30-50% to LLM COGS per session if not cached.</t>
        </is>
      </c>
    </row>
  </sheetData>
  <mergeCells count="6">
    <mergeCell ref="A43:H43"/>
    <mergeCell ref="A42:H42"/>
    <mergeCell ref="A41:H41"/>
    <mergeCell ref="A44:H44"/>
    <mergeCell ref="A1:H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50" customWidth="1" min="4" max="4"/>
  </cols>
  <sheetData>
    <row r="1">
      <c r="A1" s="9" t="inlineStr">
        <is>
          <t>Ryze as Design Partner — Monthly Economics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Unit</t>
        </is>
      </c>
      <c r="D3" s="1" t="inlineStr">
        <is>
          <t>Note</t>
        </is>
      </c>
    </row>
    <row r="4">
      <c r="A4" s="3" t="inlineStr">
        <is>
          <t>Editors / creators at Ryze</t>
        </is>
      </c>
      <c r="B4" s="7" t="n">
        <v>55</v>
      </c>
      <c r="C4" s="3" t="inlineStr">
        <is>
          <t>people</t>
        </is>
      </c>
      <c r="D4" s="5" t="inlineStr">
        <is>
          <t>From user</t>
        </is>
      </c>
    </row>
    <row r="5">
      <c r="A5" s="3" t="inlineStr">
        <is>
          <t>Analyses per editor per month</t>
        </is>
      </c>
      <c r="B5" s="7" t="n">
        <v>100</v>
      </c>
      <c r="C5" s="3" t="inlineStr">
        <is>
          <t>#/mo</t>
        </is>
      </c>
      <c r="D5" s="5" t="inlineStr">
        <is>
          <t>Assumption — tweak based on real usage</t>
        </is>
      </c>
    </row>
    <row r="6">
      <c r="A6" s="12" t="inlineStr">
        <is>
          <t>Total analyses per month</t>
        </is>
      </c>
      <c r="B6" s="22">
        <f>B4*B5</f>
        <v/>
      </c>
      <c r="C6" s="3" t="inlineStr">
        <is>
          <t>#/mo</t>
        </is>
      </c>
    </row>
    <row r="7">
      <c r="A7" s="3" t="inlineStr">
        <is>
          <t>Average video length (seconds)</t>
        </is>
      </c>
      <c r="B7" s="7" t="n">
        <v>60</v>
      </c>
      <c r="C7" s="3" t="inlineStr">
        <is>
          <t>sec</t>
        </is>
      </c>
      <c r="D7" s="5" t="inlineStr">
        <is>
          <t>TikTok/Reels median</t>
        </is>
      </c>
    </row>
    <row r="9">
      <c r="A9" s="2" t="inlineStr">
        <is>
          <t>Scenario A — Flash only at $1/analysis</t>
        </is>
      </c>
      <c r="B9" s="2" t="n"/>
      <c r="C9" s="2" t="n"/>
      <c r="D9" s="2" t="n"/>
    </row>
    <row r="10">
      <c r="A10" s="3" t="inlineStr">
        <is>
          <t>COGS per analysis</t>
        </is>
      </c>
      <c r="B10" s="23">
        <f>'Per Analysis'!E14</f>
        <v/>
      </c>
      <c r="C10" s="3" t="inlineStr">
        <is>
          <t>$</t>
        </is>
      </c>
    </row>
    <row r="11">
      <c r="A11" s="3" t="inlineStr">
        <is>
          <t>Revenue per analysis</t>
        </is>
      </c>
      <c r="B11" s="23">
        <f>Assumptions!B22*Assumptions!B23</f>
        <v/>
      </c>
      <c r="C11" s="3" t="inlineStr">
        <is>
          <t>$</t>
        </is>
      </c>
    </row>
    <row r="12">
      <c r="A12" s="3" t="inlineStr">
        <is>
          <t>Monthly COGS</t>
        </is>
      </c>
      <c r="B12" s="24">
        <f>B6*B10</f>
        <v/>
      </c>
      <c r="C12" s="3" t="inlineStr">
        <is>
          <t>$/mo</t>
        </is>
      </c>
    </row>
    <row r="13">
      <c r="A13" s="12" t="inlineStr">
        <is>
          <t>Monthly revenue (MRR from Ryze)</t>
        </is>
      </c>
      <c r="B13" s="25">
        <f>B6*B11</f>
        <v/>
      </c>
      <c r="C13" s="3" t="inlineStr">
        <is>
          <t>$/mo</t>
        </is>
      </c>
    </row>
    <row r="14">
      <c r="A14" s="12" t="inlineStr">
        <is>
          <t>Gross profit (Ryze only)</t>
        </is>
      </c>
      <c r="B14" s="26">
        <f>B13-B12</f>
        <v/>
      </c>
      <c r="C14" s="3" t="inlineStr">
        <is>
          <t>$/mo</t>
        </is>
      </c>
    </row>
    <row r="15">
      <c r="A15" s="12" t="inlineStr">
        <is>
          <t>Gross margin %</t>
        </is>
      </c>
      <c r="B15" s="19">
        <f>IFERROR(B14/B13,0)</f>
        <v/>
      </c>
      <c r="C15" s="3" t="inlineStr">
        <is>
          <t>%</t>
        </is>
      </c>
    </row>
    <row r="17">
      <c r="A17" s="2" t="inlineStr">
        <is>
          <t>Scenario B — Pro only at $3/analysis</t>
        </is>
      </c>
      <c r="B17" s="2" t="n"/>
      <c r="C17" s="2" t="n"/>
      <c r="D17" s="2" t="n"/>
    </row>
    <row r="18">
      <c r="A18" s="3" t="inlineStr">
        <is>
          <t>COGS per analysis</t>
        </is>
      </c>
      <c r="B18" s="23">
        <f>'Per Analysis'!E28</f>
        <v/>
      </c>
      <c r="C18" s="3" t="inlineStr">
        <is>
          <t>$</t>
        </is>
      </c>
    </row>
    <row r="19">
      <c r="A19" s="3" t="inlineStr">
        <is>
          <t>Revenue per analysis</t>
        </is>
      </c>
      <c r="B19" s="23">
        <f>Assumptions!B22*Assumptions!B24</f>
        <v/>
      </c>
      <c r="C19" s="3" t="inlineStr">
        <is>
          <t>$</t>
        </is>
      </c>
    </row>
    <row r="20">
      <c r="A20" s="3" t="inlineStr">
        <is>
          <t>Monthly COGS</t>
        </is>
      </c>
      <c r="B20" s="24">
        <f>B6*B18</f>
        <v/>
      </c>
      <c r="C20" s="3" t="inlineStr">
        <is>
          <t>$/mo</t>
        </is>
      </c>
    </row>
    <row r="21">
      <c r="A21" s="12" t="inlineStr">
        <is>
          <t>Monthly revenue (MRR from Ryze)</t>
        </is>
      </c>
      <c r="B21" s="25">
        <f>B6*B19</f>
        <v/>
      </c>
      <c r="C21" s="3" t="inlineStr">
        <is>
          <t>$/mo</t>
        </is>
      </c>
    </row>
    <row r="22">
      <c r="A22" s="12" t="inlineStr">
        <is>
          <t>Gross profit (Ryze only)</t>
        </is>
      </c>
      <c r="B22" s="26">
        <f>B21-B20</f>
        <v/>
      </c>
      <c r="C22" s="3" t="inlineStr">
        <is>
          <t>$/mo</t>
        </is>
      </c>
    </row>
    <row r="23">
      <c r="A23" s="12" t="inlineStr">
        <is>
          <t>Gross margin %</t>
        </is>
      </c>
      <c r="B23" s="19">
        <f>IFERROR(B22/B21,0)</f>
        <v/>
      </c>
      <c r="C23" s="3" t="inlineStr">
        <is>
          <t>%</t>
        </is>
      </c>
    </row>
    <row r="25">
      <c r="A25" s="2" t="inlineStr">
        <is>
          <t>Scenario C — Blended 70/30 (recommended)</t>
        </is>
      </c>
      <c r="B25" s="2" t="n"/>
      <c r="C25" s="2" t="n"/>
      <c r="D25" s="2" t="n"/>
    </row>
    <row r="26">
      <c r="A26" s="3" t="inlineStr">
        <is>
          <t>COGS per analysis</t>
        </is>
      </c>
      <c r="B26" s="23">
        <f>'Per Analysis'!E35</f>
        <v/>
      </c>
      <c r="C26" s="3" t="inlineStr">
        <is>
          <t>$</t>
        </is>
      </c>
    </row>
    <row r="27">
      <c r="A27" s="3" t="inlineStr">
        <is>
          <t>Revenue per analysis</t>
        </is>
      </c>
      <c r="B27" s="23">
        <f>'Per Analysis'!E36</f>
        <v/>
      </c>
      <c r="C27" s="3" t="inlineStr">
        <is>
          <t>$</t>
        </is>
      </c>
    </row>
    <row r="28">
      <c r="A28" s="3" t="inlineStr">
        <is>
          <t>Monthly COGS</t>
        </is>
      </c>
      <c r="B28" s="24">
        <f>B6*B26</f>
        <v/>
      </c>
      <c r="C28" s="3" t="inlineStr">
        <is>
          <t>$/mo</t>
        </is>
      </c>
    </row>
    <row r="29">
      <c r="A29" s="12" t="inlineStr">
        <is>
          <t>Monthly revenue (MRR from Ryze)</t>
        </is>
      </c>
      <c r="B29" s="25">
        <f>B6*B27</f>
        <v/>
      </c>
      <c r="C29" s="3" t="inlineStr">
        <is>
          <t>$/mo</t>
        </is>
      </c>
    </row>
    <row r="30">
      <c r="A30" s="12" t="inlineStr">
        <is>
          <t>Gross profit (Ryze only)</t>
        </is>
      </c>
      <c r="B30" s="26">
        <f>B29-B28</f>
        <v/>
      </c>
      <c r="C30" s="3" t="inlineStr">
        <is>
          <t>$/mo</t>
        </is>
      </c>
    </row>
    <row r="31">
      <c r="A31" s="12" t="inlineStr">
        <is>
          <t>Gross margin %</t>
        </is>
      </c>
      <c r="B31" s="19">
        <f>IFERROR(B30/B29,0)</f>
        <v/>
      </c>
      <c r="C31" s="3" t="inlineStr">
        <is>
          <t>%</t>
        </is>
      </c>
    </row>
    <row r="33">
      <c r="A33" s="2" t="inlineStr">
        <is>
          <t>Design partner reality (what Ryze actually pays)</t>
        </is>
      </c>
      <c r="B33" s="2" t="n"/>
      <c r="C33" s="2" t="n"/>
      <c r="D33" s="2" t="n"/>
    </row>
    <row r="34">
      <c r="A34" s="3" t="inlineStr">
        <is>
          <t>Design partner discount %</t>
        </is>
      </c>
      <c r="B34" s="17" t="n">
        <v>0.5</v>
      </c>
      <c r="C34" s="3" t="inlineStr">
        <is>
          <t>%</t>
        </is>
      </c>
      <c r="D34" s="5" t="inlineStr">
        <is>
          <t>Recommended 12-month DP discount</t>
        </is>
      </c>
    </row>
    <row r="35">
      <c r="A35" s="12" t="inlineStr">
        <is>
          <t>Effective MRR from Ryze (Blended @ 50% off)</t>
        </is>
      </c>
      <c r="B35" s="26">
        <f>B29*(1-B34)</f>
        <v/>
      </c>
      <c r="C35" s="3" t="inlineStr">
        <is>
          <t>$/mo</t>
        </is>
      </c>
    </row>
    <row r="36">
      <c r="A36" s="12" t="inlineStr">
        <is>
          <t>Effective gross margin</t>
        </is>
      </c>
      <c r="B36" s="19">
        <f>IFERROR((B35-B28)/B35,0)</f>
        <v/>
      </c>
      <c r="C36" s="3" t="inlineStr">
        <is>
          <t>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Scaling — MRR and Margin at Brand Count</t>
        </is>
      </c>
    </row>
    <row r="3">
      <c r="A3" s="1" t="inlineStr">
        <is>
          <t>Metric</t>
        </is>
      </c>
      <c r="B3" s="1" t="inlineStr">
        <is>
          <t>10 brands</t>
        </is>
      </c>
      <c r="C3" s="1" t="inlineStr">
        <is>
          <t>50 brands</t>
        </is>
      </c>
      <c r="D3" s="1" t="inlineStr">
        <is>
          <t>100 brands</t>
        </is>
      </c>
      <c r="E3" s="1" t="inlineStr">
        <is>
          <t>250 brands</t>
        </is>
      </c>
      <c r="F3" s="1" t="inlineStr">
        <is>
          <t>Note</t>
        </is>
      </c>
    </row>
    <row r="4">
      <c r="A4" s="3" t="inlineStr">
        <is>
          <t>Avg editors per brand</t>
        </is>
      </c>
      <c r="B4" s="7" t="n">
        <v>8</v>
      </c>
      <c r="C4" s="7" t="n">
        <v>8</v>
      </c>
      <c r="D4" s="7" t="n">
        <v>8</v>
      </c>
      <c r="E4" s="7" t="n">
        <v>8</v>
      </c>
      <c r="F4" s="5" t="inlineStr">
        <is>
          <t>Industry avg DTC team</t>
        </is>
      </c>
    </row>
    <row r="5">
      <c r="A5" s="3" t="inlineStr">
        <is>
          <t>Analyses per editor per month</t>
        </is>
      </c>
      <c r="B5" s="7" t="n">
        <v>60</v>
      </c>
      <c r="C5" s="7" t="n">
        <v>60</v>
      </c>
      <c r="D5" s="7" t="n">
        <v>60</v>
      </c>
      <c r="E5" s="7" t="n">
        <v>60</v>
      </c>
      <c r="F5" s="5" t="inlineStr">
        <is>
          <t>Conservative vs Ryze (100)</t>
        </is>
      </c>
    </row>
    <row r="6">
      <c r="A6" s="3" t="inlineStr">
        <is>
          <t>Brand count</t>
        </is>
      </c>
      <c r="B6" s="27" t="n">
        <v>10</v>
      </c>
      <c r="C6" s="27" t="n">
        <v>50</v>
      </c>
      <c r="D6" s="27" t="n">
        <v>100</v>
      </c>
      <c r="E6" s="27" t="n">
        <v>250</v>
      </c>
    </row>
    <row r="7">
      <c r="A7" s="12" t="inlineStr">
        <is>
          <t>Total monthly analyses</t>
        </is>
      </c>
      <c r="B7" s="22">
        <f>B4*B5*B6</f>
        <v/>
      </c>
      <c r="C7" s="22">
        <f>C4*C5*C6</f>
        <v/>
      </c>
      <c r="D7" s="22">
        <f>D4*D5*D6</f>
        <v/>
      </c>
      <c r="E7" s="22">
        <f>E4*E5*E6</f>
        <v/>
      </c>
    </row>
    <row r="8">
      <c r="A8" s="3" t="inlineStr">
        <is>
          <t>Blended COGS / analysis</t>
        </is>
      </c>
      <c r="B8" s="23">
        <f>'Per Analysis'!E35</f>
        <v/>
      </c>
      <c r="C8" s="23">
        <f>'Per Analysis'!E35</f>
        <v/>
      </c>
      <c r="D8" s="23">
        <f>'Per Analysis'!E35</f>
        <v/>
      </c>
      <c r="E8" s="23">
        <f>'Per Analysis'!E35</f>
        <v/>
      </c>
    </row>
    <row r="9">
      <c r="A9" s="3" t="inlineStr">
        <is>
          <t>Blended revenue / analysis</t>
        </is>
      </c>
      <c r="B9" s="23">
        <f>'Per Analysis'!E36</f>
        <v/>
      </c>
      <c r="C9" s="23">
        <f>'Per Analysis'!E36</f>
        <v/>
      </c>
      <c r="D9" s="23">
        <f>'Per Analysis'!E36</f>
        <v/>
      </c>
      <c r="E9" s="23">
        <f>'Per Analysis'!E36</f>
        <v/>
      </c>
    </row>
    <row r="10">
      <c r="A10" s="12" t="inlineStr">
        <is>
          <t>Gross MRR</t>
        </is>
      </c>
      <c r="B10" s="25">
        <f>B7*B9</f>
        <v/>
      </c>
      <c r="C10" s="25">
        <f>C7*C9</f>
        <v/>
      </c>
      <c r="D10" s="25">
        <f>D7*D9</f>
        <v/>
      </c>
      <c r="E10" s="25">
        <f>E7*E9</f>
        <v/>
      </c>
    </row>
    <row r="11">
      <c r="A11" s="3" t="inlineStr">
        <is>
          <t>Monthly COGS (variable)</t>
        </is>
      </c>
      <c r="B11" s="24">
        <f>B7*B8</f>
        <v/>
      </c>
      <c r="C11" s="24">
        <f>C7*C8</f>
        <v/>
      </c>
      <c r="D11" s="24">
        <f>D7*D8</f>
        <v/>
      </c>
      <c r="E11" s="24">
        <f>E7*E8</f>
        <v/>
      </c>
    </row>
    <row r="12">
      <c r="A12" s="3" t="inlineStr">
        <is>
          <t>Monthly fixed overhead</t>
        </is>
      </c>
      <c r="B12" s="28">
        <f>Assumptions!B27+Assumptions!B28+Assumptions!B29+Assumptions!B30</f>
        <v/>
      </c>
      <c r="C12" s="28">
        <f>Assumptions!B27+Assumptions!B28+Assumptions!B29+Assumptions!B30</f>
        <v/>
      </c>
      <c r="D12" s="28">
        <f>Assumptions!B27+Assumptions!B28+Assumptions!B29+Assumptions!B30</f>
        <v/>
      </c>
      <c r="E12" s="28">
        <f>Assumptions!B27+Assumptions!B28+Assumptions!B29+Assumptions!B30</f>
        <v/>
      </c>
    </row>
    <row r="13">
      <c r="A13" s="12" t="inlineStr">
        <is>
          <t>Gross profit (Gross MRR − variable COGS)</t>
        </is>
      </c>
      <c r="B13" s="26">
        <f>B10-B11</f>
        <v/>
      </c>
      <c r="C13" s="26">
        <f>C10-C11</f>
        <v/>
      </c>
      <c r="D13" s="26">
        <f>D10-D11</f>
        <v/>
      </c>
      <c r="E13" s="26">
        <f>E10-E11</f>
        <v/>
      </c>
    </row>
    <row r="14">
      <c r="A14" s="12" t="inlineStr">
        <is>
          <t>Gross margin %</t>
        </is>
      </c>
      <c r="B14" s="16">
        <f>IFERROR(B13/B10,0)</f>
        <v/>
      </c>
      <c r="C14" s="16">
        <f>IFERROR(C13/C10,0)</f>
        <v/>
      </c>
      <c r="D14" s="16">
        <f>IFERROR(D13/D10,0)</f>
        <v/>
      </c>
      <c r="E14" s="16">
        <f>IFERROR(E13/E10,0)</f>
        <v/>
      </c>
    </row>
    <row r="15">
      <c r="A15" s="18" t="inlineStr">
        <is>
          <t>Net (GP − fixed)</t>
        </is>
      </c>
      <c r="B15" s="29">
        <f>B13-B12</f>
        <v/>
      </c>
      <c r="C15" s="29">
        <f>C13-C12</f>
        <v/>
      </c>
      <c r="D15" s="29">
        <f>D13-D12</f>
        <v/>
      </c>
      <c r="E15" s="29">
        <f>E13-E12</f>
        <v/>
      </c>
    </row>
    <row r="16">
      <c r="A16" s="12" t="inlineStr">
        <is>
          <t>Net margin %</t>
        </is>
      </c>
      <c r="B16" s="16">
        <f>IFERROR(B15/B10,0)</f>
        <v/>
      </c>
      <c r="C16" s="16">
        <f>IFERROR(C15/C10,0)</f>
        <v/>
      </c>
      <c r="D16" s="16">
        <f>IFERROR(D15/D10,0)</f>
        <v/>
      </c>
      <c r="E16" s="16">
        <f>IFERROR(E15/E10,0)</f>
        <v/>
      </c>
    </row>
    <row r="17">
      <c r="A17" s="12" t="inlineStr">
        <is>
          <t>Annual net (at this scale)</t>
        </is>
      </c>
      <c r="B17" s="26">
        <f>B15*12</f>
        <v/>
      </c>
      <c r="C17" s="26">
        <f>C15*12</f>
        <v/>
      </c>
      <c r="D17" s="26">
        <f>D15*12</f>
        <v/>
      </c>
      <c r="E17" s="26">
        <f>E15*12</f>
        <v/>
      </c>
    </row>
    <row r="19">
      <c r="A19" s="20" t="inlineStr">
        <is>
          <t>Notes:</t>
        </is>
      </c>
    </row>
    <row r="20">
      <c r="A20" s="21" t="inlineStr">
        <is>
          <t>• Brand-count is steady-state assumption; real growth will have ramp.</t>
        </is>
      </c>
    </row>
    <row r="21">
      <c r="A21" s="21" t="inlineStr">
        <is>
          <t>• Fixed overhead includes salaries — remove if bootstrapped founder-only.</t>
        </is>
      </c>
    </row>
    <row r="22">
      <c r="A22" s="21" t="inlineStr">
        <is>
          <t>• Scaling past 100 brands likely requires CS headcount, adjust salaries upward.</t>
        </is>
      </c>
    </row>
    <row r="23">
      <c r="A23" s="21" t="inlineStr">
        <is>
          <t>• Churn not modeled — industry SaaS benchmark is 3-7%/mo for SMB, plan for 5%.</t>
        </is>
      </c>
    </row>
  </sheetData>
  <mergeCells count="5"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50" customWidth="1" min="4" max="4"/>
  </cols>
  <sheetData>
    <row r="1">
      <c r="A1" s="9" t="inlineStr">
        <is>
          <t>UGC Production Cost Context — What Editors Pay to Make the Video You Analyze</t>
        </is>
      </c>
    </row>
    <row r="3">
      <c r="A3" s="1" t="inlineStr">
        <is>
          <t>Tier</t>
        </is>
      </c>
      <c r="B3" s="1" t="inlineStr">
        <is>
          <t>Low ($)</t>
        </is>
      </c>
      <c r="C3" s="1" t="inlineStr">
        <is>
          <t>High ($)</t>
        </is>
      </c>
      <c r="D3" s="1" t="inlineStr">
        <is>
          <t>Source / Note</t>
        </is>
      </c>
    </row>
    <row r="4">
      <c r="A4" s="3" t="inlineStr">
        <is>
          <t>UGC creator — entry level</t>
        </is>
      </c>
      <c r="B4" s="8" t="n">
        <v>50</v>
      </c>
      <c r="C4" s="8" t="n">
        <v>150</v>
      </c>
      <c r="D4" s="5" t="inlineStr">
        <is>
          <t>Source: Influee, Billo, Collabstr 2025 rate guides</t>
        </is>
      </c>
    </row>
    <row r="5">
      <c r="A5" s="3" t="inlineStr">
        <is>
          <t>UGC creator — mid-tier (most common)</t>
        </is>
      </c>
      <c r="B5" s="8" t="n">
        <v>150</v>
      </c>
      <c r="C5" s="8" t="n">
        <v>300</v>
      </c>
      <c r="D5" s="5" t="inlineStr">
        <is>
          <t>Source: Superscale, Designrevision 2025 (avg $185)</t>
        </is>
      </c>
    </row>
    <row r="6">
      <c r="A6" s="3" t="inlineStr">
        <is>
          <t>UGC creator — premium</t>
        </is>
      </c>
      <c r="B6" s="8" t="n">
        <v>300</v>
      </c>
      <c r="C6" s="8" t="n">
        <v>500</v>
      </c>
      <c r="D6" s="5" t="inlineStr">
        <is>
          <t>Source: Popfly, Kristian Larsen UGC guides 2026</t>
        </is>
      </c>
    </row>
    <row r="7">
      <c r="A7" s="3" t="inlineStr">
        <is>
          <t>Usage rights — additional (+%)</t>
        </is>
      </c>
      <c r="B7" s="17" t="n">
        <v>0.3</v>
      </c>
      <c r="C7" s="17" t="n">
        <v>1.5</v>
      </c>
      <c r="D7" s="5" t="inlineStr">
        <is>
          <t>Source: Billo — paid usage +30-50%, perpetual +100-150%</t>
        </is>
      </c>
    </row>
    <row r="8">
      <c r="A8" s="3" t="inlineStr">
        <is>
          <t>In-house creator fully loaded (est.)</t>
        </is>
      </c>
      <c r="B8" s="8" t="n">
        <v>80</v>
      </c>
      <c r="C8" s="8" t="n">
        <v>200</v>
      </c>
      <c r="D8" s="5" t="inlineStr">
        <is>
          <t>Salary + equipment amortized; Ryze-style 55-editor model</t>
        </is>
      </c>
    </row>
    <row r="9">
      <c r="A9" s="3" t="inlineStr">
        <is>
          <t>Agency-produced video</t>
        </is>
      </c>
      <c r="B9" s="8" t="n">
        <v>500</v>
      </c>
      <c r="C9" s="8" t="n">
        <v>5000</v>
      </c>
      <c r="D9" s="5" t="inlineStr">
        <is>
          <t>Source: Superside, inBeat — creative agency rates</t>
        </is>
      </c>
    </row>
    <row r="11">
      <c r="A11" s="2" t="inlineStr">
        <is>
          <t>Analysis cost as % of production cost</t>
        </is>
      </c>
      <c r="B11" s="2" t="n"/>
      <c r="C11" s="2" t="n"/>
      <c r="D11" s="2" t="n"/>
    </row>
    <row r="12">
      <c r="A12" s="3" t="inlineStr">
        <is>
          <t>Reference production cost (mid-tier creator midpoint)</t>
        </is>
      </c>
      <c r="B12" s="28">
        <f>(B6+C6)/2</f>
        <v/>
      </c>
      <c r="C12" s="3" t="inlineStr">
        <is>
          <t>$</t>
        </is>
      </c>
    </row>
    <row r="13">
      <c r="A13" s="3" t="inlineStr">
        <is>
          <t>Flash analysis COGS (60s video)</t>
        </is>
      </c>
      <c r="B13" s="23">
        <f>'Per Analysis'!E14</f>
        <v/>
      </c>
      <c r="C13" s="3" t="inlineStr">
        <is>
          <t>$</t>
        </is>
      </c>
    </row>
    <row r="14">
      <c r="A14" s="3" t="inlineStr">
        <is>
          <t>Flash analysis price (1 credit, 60s video)</t>
        </is>
      </c>
      <c r="B14" s="23">
        <f>Assumptions!B22</f>
        <v/>
      </c>
    </row>
    <row r="15">
      <c r="A15" s="12" t="inlineStr">
        <is>
          <t>Analysis price as % of production cost</t>
        </is>
      </c>
      <c r="B15" s="19">
        <f>IFERROR(B14/B12,0)</f>
        <v/>
      </c>
      <c r="D15" s="5" t="inlineStr">
        <is>
          <t>A $1 analysis is &lt;1% of production — editor burns it without hesitation</t>
        </is>
      </c>
    </row>
    <row r="16">
      <c r="A16" s="3" t="inlineStr">
        <is>
          <t>Pro analysis price (3 credits, 60s video)</t>
        </is>
      </c>
      <c r="B16" s="23">
        <f>Assumptions!B22*Assumptions!B24</f>
        <v/>
      </c>
    </row>
    <row r="17">
      <c r="A17" s="12" t="inlineStr">
        <is>
          <t>Pro analysis price as % of production cost</t>
        </is>
      </c>
      <c r="B17" s="19">
        <f>IFERROR(B16/B12,0)</f>
        <v/>
      </c>
      <c r="D17" s="5" t="inlineStr">
        <is>
          <t>Still well under 5% — priced correctly for decision-grade analysis</t>
        </is>
      </c>
    </row>
    <row r="20">
      <c r="A20" s="30" t="inlineStr">
        <is>
          <t>Decision framing: at $1-3/analysis, the question is never cost — it's whether the analysis is good enough to change behavior.</t>
        </is>
      </c>
    </row>
    <row r="22">
      <c r="A22" s="21" t="inlineStr">
        <is>
          <t>• UGC market saw 44% YoY price drop 2024→2025 due to AI UGC flooding supply.</t>
        </is>
      </c>
    </row>
    <row r="23">
      <c r="A23" s="21" t="inlineStr">
        <is>
          <t>• Ryze's 55-editor in-house model indicates fully loaded cost per video $80-200 (salary amortized).</t>
        </is>
      </c>
    </row>
    <row r="24">
      <c r="A24" s="21" t="inlineStr">
        <is>
          <t>• Analysis cost should target &lt;5% of production cost to feel 'free' to the editor.</t>
        </is>
      </c>
    </row>
    <row r="25">
      <c r="A25" s="21" t="inlineStr">
        <is>
          <t>• Premium tier can justify higher price if it prevents ONE bad creative from running (avg $500-2000 wasted spend per flop).</t>
        </is>
      </c>
    </row>
  </sheetData>
  <mergeCells count="6">
    <mergeCell ref="A1:D1"/>
    <mergeCell ref="A23:D23"/>
    <mergeCell ref="A22:D22"/>
    <mergeCell ref="A20:D20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2026-04-17T00:07:17Z</dcterms:created>
  <dcterms:modified xmlns:dcterms="http://purl.org/dc/terms/" xmlns:xsi="http://www.w3.org/2001/XMLSchema-instance" xsi:type="dcterms:W3CDTF">2026-04-17T00:07:18Z</dcterms:modified>
</cp:coreProperties>
</file>